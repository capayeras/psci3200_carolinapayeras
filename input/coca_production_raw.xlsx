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arolina/Dropbox/Global Development/psci3200_carolinapayeras/input/"/>
    </mc:Choice>
  </mc:AlternateContent>
  <xr:revisionPtr revIDLastSave="0" documentId="13_ncr:1_{5C3C8431-7E2B-3E44-85FD-A792FD64AF3E}" xr6:coauthVersionLast="47" xr6:coauthVersionMax="47" xr10:uidLastSave="{00000000-0000-0000-0000-000000000000}"/>
  <bookViews>
    <workbookView xWindow="0" yWindow="760" windowWidth="29400" windowHeight="16860" xr2:uid="{E3158B90-7B88-4102-A1A7-9D92DFFFD1A5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3" i="2" l="1"/>
  <c r="N3" i="2"/>
</calcChain>
</file>

<file path=xl/sharedStrings.xml><?xml version="1.0" encoding="utf-8"?>
<sst xmlns="http://schemas.openxmlformats.org/spreadsheetml/2006/main" count="16" uniqueCount="16">
  <si>
    <r>
      <t xml:space="preserve">  Colombia </t>
    </r>
    <r>
      <rPr>
        <vertAlign val="superscript"/>
        <sz val="10"/>
        <color rgb="FF000000"/>
        <rFont val="Arial"/>
        <family val="2"/>
      </rPr>
      <t>a</t>
    </r>
  </si>
  <si>
    <t>Global illicit cultivation of coca bush, 2010-2023 (hectares)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</si>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</sst>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"/>
    <numFmt numFmtId="165" formatCode="&quot; &quot;#,##0&quot; &quot;;&quot;-&quot;#,##0&quot; &quot;;&quot; -&quot;00&quot; &quot;;&quot; &quot;@&quot; &quot;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2"/>
      <color rgb="FF000000"/>
      <name val="Times New Roman"/>
      <family val="1"/>
    </font>
    <font>
      <vertAlign val="superscript"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3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ont="0" applyBorder="0" applyProtection="0"/>
    <xf numFmtId="0" fontId="4" fillId="0" borderId="0" applyNumberFormat="0" applyBorder="0" applyProtection="0"/>
  </cellStyleXfs>
  <cellXfs count="18">
    <xf numFmtId="0" fontId="0" fillId="0" borderId="0" xfId="0"/>
    <xf numFmtId="3" fontId="0" fillId="0" borderId="0" xfId="0" applyNumberFormat="1"/>
    <xf numFmtId="0" fontId="0" fillId="2" borderId="0" xfId="0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/>
    <xf numFmtId="0" fontId="0" fillId="2" borderId="0" xfId="0" applyFill="1" applyAlignment="1">
      <alignment horizontal="right"/>
    </xf>
    <xf numFmtId="164" fontId="2" fillId="2" borderId="1" xfId="0" applyNumberFormat="1" applyFont="1" applyFill="1" applyBorder="1" applyAlignment="1">
      <alignment vertical="center"/>
    </xf>
    <xf numFmtId="164" fontId="2" fillId="2" borderId="1" xfId="3" applyNumberFormat="1" applyFont="1" applyFill="1" applyBorder="1" applyAlignment="1" applyProtection="1">
      <alignment vertical="center"/>
    </xf>
    <xf numFmtId="0" fontId="2" fillId="0" borderId="1" xfId="0" applyFont="1" applyBorder="1" applyAlignment="1">
      <alignment vertical="center"/>
    </xf>
    <xf numFmtId="0" fontId="2" fillId="0" borderId="2" xfId="0" applyFont="1" applyBorder="1" applyAlignment="1">
      <alignment vertical="center"/>
    </xf>
    <xf numFmtId="1" fontId="2" fillId="0" borderId="2" xfId="0" applyNumberFormat="1" applyFont="1" applyBorder="1"/>
    <xf numFmtId="0" fontId="2" fillId="0" borderId="2" xfId="0" applyFont="1" applyBorder="1"/>
    <xf numFmtId="3" fontId="0" fillId="0" borderId="0" xfId="4" applyNumberFormat="1" applyFont="1" applyAlignment="1" applyProtection="1">
      <alignment vertical="center"/>
    </xf>
    <xf numFmtId="165" fontId="1" fillId="0" borderId="0" xfId="1" applyNumberFormat="1" applyFill="1" applyAlignment="1">
      <alignment vertical="center"/>
    </xf>
    <xf numFmtId="3" fontId="0" fillId="0" borderId="0" xfId="2" applyNumberFormat="1" applyFont="1" applyFill="1" applyAlignment="1">
      <alignment vertical="center"/>
    </xf>
    <xf numFmtId="0" fontId="0" fillId="2" borderId="0" xfId="1" applyNumberFormat="1" applyFont="1" applyFill="1" applyAlignment="1">
      <alignment vertical="center"/>
    </xf>
    <xf numFmtId="3" fontId="0" fillId="0" borderId="0" xfId="0" applyNumberFormat="1" applyAlignment="1">
      <alignment vertical="center"/>
    </xf>
  </cellXfs>
  <cellStyles count="5">
    <cellStyle name="Comma" xfId="1" builtinId="3"/>
    <cellStyle name="Normal" xfId="0" builtinId="0"/>
    <cellStyle name="Normal 2" xfId="3" xr:uid="{8814919E-12C7-42D9-83AC-05057D451138}"/>
    <cellStyle name="Normal 4" xfId="4" xr:uid="{2FC99DBC-ED8A-4350-9ECF-1BB567950692}"/>
    <cellStyle name="Percent" xfId="2" builtinId="5"/>
  </cellStyles>
  <dxfs count="16">
    <dxf>
      <numFmt numFmtId="3" formatCode="#,##0"/>
      <alignment horizontal="general" vertical="center" textRotation="0" wrapText="0" indent="0" justifyLastLine="0" shrinkToFit="0" readingOrder="0"/>
    </dxf>
    <dxf>
      <numFmt numFmtId="3" formatCode="#,##0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&quot; &quot;#,##0&quot; &quot;;&quot;-&quot;#,##0&quot; &quot;;&quot; -&quot;00&quot; &quot;;&quot; &quot;@&quot; 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&quot; &quot;#,##0&quot; &quot;;&quot;-&quot;#,##0&quot; &quot;;&quot; -&quot;00&quot; &quot;;&quot; &quot;@&quot; 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&quot; &quot;#,##0&quot; &quot;;&quot;-&quot;#,##0&quot; &quot;;&quot; -&quot;00&quot; &quot;;&quot; &quot;@&quot; 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&quot; &quot;#,##0&quot; &quot;;&quot;-&quot;#,##0&quot; &quot;;&quot; -&quot;00&quot; &quot;;&quot; &quot;@&quot; 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numFmt numFmtId="165" formatCode="&quot; &quot;#,##0&quot; &quot;;&quot;-&quot;#,##0&quot; &quot;;&quot; -&quot;00&quot; &quot;;&quot; &quot;@&quot; &quot;"/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3" formatCode="#,##0"/>
      <alignment horizontal="general" vertical="center" textRotation="0" wrapText="0" indent="0" justifyLastLine="0" shrinkToFit="0" readingOrder="0"/>
      <protection locked="1" hidden="0"/>
    </dxf>
    <dxf>
      <numFmt numFmtId="0" formatCode="General"/>
      <fill>
        <patternFill patternType="solid">
          <fgColor rgb="FFFFFFFF"/>
          <bgColor rgb="FFFFFFFF"/>
        </patternFill>
      </fill>
      <alignment horizontal="general" vertical="center" textRotation="0" wrapText="0" indent="0" justifyLastLine="0" shrinkToFit="0" readingOrder="0"/>
    </dxf>
    <dxf>
      <border outline="0"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ACA2F123-D092-2D4C-9152-79A81A23AC5A}" name="Table3" displayName="Table3" ref="A2:O3" totalsRowShown="0" tableBorderDxfId="15">
  <autoFilter ref="A2:O3" xr:uid="{ACA2F123-D092-2D4C-9152-79A81A23AC5A}"/>
  <tableColumns count="15">
    <tableColumn id="1" xr3:uid="{012732CA-DA39-A043-A642-F0F9B436B6E8}" name="Global illicit cultivation of coca bush, 2010-2023 (hectares)" dataDxfId="14" dataCellStyle="Comma"/>
    <tableColumn id="2" xr3:uid="{D325044F-1E82-654A-B7AD-28AA7369CB55}" name="2010" dataDxfId="13" dataCellStyle="Normal 4"/>
    <tableColumn id="3" xr3:uid="{796B5EA0-1E48-0348-B864-5A5DD35ACACE}" name="2011" dataDxfId="12" dataCellStyle="Normal 4"/>
    <tableColumn id="5" xr3:uid="{91B0F6E5-E657-D547-BE14-C6475A1D174F}" name="2012" dataDxfId="11" dataCellStyle="Normal 4"/>
    <tableColumn id="6" xr3:uid="{C763ACAF-ECE4-FE4D-AA7E-86CC91495994}" name="2013" dataDxfId="10" dataCellStyle="Normal 4"/>
    <tableColumn id="7" xr3:uid="{9D0C1B7E-EAFD-BC45-83C5-03C878AF51F4}" name="2014" dataDxfId="9" dataCellStyle="Normal 4"/>
    <tableColumn id="8" xr3:uid="{D541A3C3-58B5-1E40-9B6E-ACECAC14E7C0}" name="2015" dataDxfId="8" dataCellStyle="Normal 4"/>
    <tableColumn id="9" xr3:uid="{B249FC32-A8B8-6146-B4B6-2A8F680B5483}" name="2016" dataDxfId="7" dataCellStyle="Comma"/>
    <tableColumn id="10" xr3:uid="{861A4685-F94F-9F4C-844D-EA4A7158B783}" name="2017" dataDxfId="6" dataCellStyle="Comma"/>
    <tableColumn id="11" xr3:uid="{DC6EFE95-DF60-E348-B5F0-C4B3435BC77F}" name="2018" dataDxfId="5" dataCellStyle="Comma"/>
    <tableColumn id="12" xr3:uid="{3F3F4D24-8797-A541-AC49-A460C6943B56}" name="2019" dataDxfId="4" dataCellStyle="Comma"/>
    <tableColumn id="13" xr3:uid="{E2CB8AE0-5188-6B46-90A4-501DE286ADDC}" name="2020" dataDxfId="3" dataCellStyle="Comma"/>
    <tableColumn id="14" xr3:uid="{931F9B2B-70C2-EF4F-919D-4BFE8BC57488}" name="2021" dataDxfId="2" dataCellStyle="Percent"/>
    <tableColumn id="16" xr3:uid="{F5054793-7A25-E241-93B7-E78B914E97F0}" name="2022" dataDxfId="1"/>
    <tableColumn id="17" xr3:uid="{FB32793B-89D2-D641-B437-54CD128055E5}" name="2023" dataDxfId="0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3311F5-EDF6-9A47-A9C6-68D0548901E1}">
  <dimension ref="A1:O3"/>
  <sheetViews>
    <sheetView tabSelected="1" workbookViewId="0">
      <selection activeCell="G9" sqref="G9"/>
    </sheetView>
  </sheetViews>
  <sheetFormatPr baseColWidth="10" defaultRowHeight="15" x14ac:dyDescent="0.2"/>
  <sheetData>
    <row r="1" spans="1:15" x14ac:dyDescent="0.2">
      <c r="A1" s="2"/>
      <c r="B1" s="3"/>
      <c r="C1" s="3"/>
      <c r="D1" s="3"/>
      <c r="E1" s="3"/>
      <c r="F1" s="4"/>
      <c r="G1" s="4"/>
      <c r="H1" s="4"/>
      <c r="I1" s="4"/>
      <c r="J1" s="5"/>
      <c r="K1" s="5"/>
      <c r="L1" s="5"/>
      <c r="M1" s="1"/>
    </row>
    <row r="2" spans="1:15" x14ac:dyDescent="0.2">
      <c r="A2" s="6" t="s">
        <v>1</v>
      </c>
      <c r="B2" s="7" t="s">
        <v>2</v>
      </c>
      <c r="C2" s="7" t="s">
        <v>3</v>
      </c>
      <c r="D2" s="7" t="s">
        <v>4</v>
      </c>
      <c r="E2" s="8" t="s">
        <v>5</v>
      </c>
      <c r="F2" s="9" t="s">
        <v>6</v>
      </c>
      <c r="G2" s="9" t="s">
        <v>7</v>
      </c>
      <c r="H2" s="9" t="s">
        <v>8</v>
      </c>
      <c r="I2" s="9" t="s">
        <v>9</v>
      </c>
      <c r="J2" s="9" t="s">
        <v>10</v>
      </c>
      <c r="K2" s="9" t="s">
        <v>11</v>
      </c>
      <c r="L2" s="10" t="s">
        <v>12</v>
      </c>
      <c r="M2" s="11" t="s">
        <v>13</v>
      </c>
      <c r="N2" s="12" t="s">
        <v>14</v>
      </c>
      <c r="O2" s="12" t="s">
        <v>15</v>
      </c>
    </row>
    <row r="3" spans="1:15" x14ac:dyDescent="0.2">
      <c r="A3" s="16" t="s">
        <v>0</v>
      </c>
      <c r="B3" s="13">
        <v>62000</v>
      </c>
      <c r="C3" s="13">
        <v>64000</v>
      </c>
      <c r="D3" s="13">
        <v>48000</v>
      </c>
      <c r="E3" s="13">
        <v>48000</v>
      </c>
      <c r="F3" s="13">
        <v>69000</v>
      </c>
      <c r="G3" s="13">
        <v>96000</v>
      </c>
      <c r="H3" s="14">
        <v>146000</v>
      </c>
      <c r="I3" s="14">
        <v>171000</v>
      </c>
      <c r="J3" s="14">
        <v>169000</v>
      </c>
      <c r="K3" s="14">
        <v>154000</v>
      </c>
      <c r="L3" s="14">
        <v>142800</v>
      </c>
      <c r="M3" s="15">
        <v>204300</v>
      </c>
      <c r="N3" s="17">
        <f>MROUND(230027.62,100)</f>
        <v>230000</v>
      </c>
      <c r="O3" s="17">
        <f>MROUND(252572, 100)</f>
        <v>252600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f1cb922-524b-4a63-a729-f715e5c73bc5">
      <Terms xmlns="http://schemas.microsoft.com/office/infopath/2007/PartnerControls"/>
    </lcf76f155ced4ddcb4097134ff3c332f>
    <TaxCatchAll xmlns="985ec44e-1bab-4c0b-9df0-6ba128686fc9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CC2ACFA87F550418D225E071F542ADA" ma:contentTypeVersion="25" ma:contentTypeDescription="Create a new document." ma:contentTypeScope="" ma:versionID="4fddcf71c5215f89be1df97a0ac37438">
  <xsd:schema xmlns:xsd="http://www.w3.org/2001/XMLSchema" xmlns:xs="http://www.w3.org/2001/XMLSchema" xmlns:p="http://schemas.microsoft.com/office/2006/metadata/properties" xmlns:ns2="8bde3967-4b29-49c8-add0-1b77de203898" xmlns:ns3="0f1cb922-524b-4a63-a729-f715e5c73bc5" xmlns:ns4="985ec44e-1bab-4c0b-9df0-6ba128686fc9" targetNamespace="http://schemas.microsoft.com/office/2006/metadata/properties" ma:root="true" ma:fieldsID="63779d6050f146c715da7e008c130d94" ns2:_="" ns3:_="" ns4:_="">
    <xsd:import namespace="8bde3967-4b29-49c8-add0-1b77de203898"/>
    <xsd:import namespace="0f1cb922-524b-4a63-a729-f715e5c73bc5"/>
    <xsd:import namespace="985ec44e-1bab-4c0b-9df0-6ba128686fc9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Location" minOccurs="0"/>
                <xsd:element ref="ns3:MediaLengthInSeconds" minOccurs="0"/>
                <xsd:element ref="ns4:TaxCatchAll" minOccurs="0"/>
                <xsd:element ref="ns3:lcf76f155ced4ddcb4097134ff3c332f" minOccurs="0"/>
                <xsd:element ref="ns3:MediaServiceObjectDetectorVersions" minOccurs="0"/>
                <xsd:element ref="ns3:MediaServiceSearchProperties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bde3967-4b29-49c8-add0-1b77de20389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f1cb922-524b-4a63-a729-f715e5c73bc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3" nillable="true" ma:taxonomy="true" ma:internalName="lcf76f155ced4ddcb4097134ff3c332f" ma:taxonomyFieldName="MediaServiceImageTags" ma:displayName="Image Tags" ma:readOnly="false" ma:fieldId="{5cf76f15-5ced-4ddc-b409-7134ff3c332f}" ma:taxonomyMulti="true" ma:sspId="78175662-8596-484a-92c7-351d01561e2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85ec44e-1bab-4c0b-9df0-6ba128686fc9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6068b4f6-077d-4e9b-8d51-ea092799dd60}" ma:internalName="TaxCatchAll" ma:showField="CatchAllData" ma:web="8bde3967-4b29-49c8-add0-1b77de20389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BC2921E-D57D-45C1-843D-09795527126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F6E61CA-37EC-439B-979B-7D753525A1C3}">
  <ds:schemaRefs>
    <ds:schemaRef ds:uri="http://schemas.microsoft.com/office/2006/metadata/properties"/>
    <ds:schemaRef ds:uri="http://schemas.microsoft.com/office/infopath/2007/PartnerControls"/>
    <ds:schemaRef ds:uri="0f1cb922-524b-4a63-a729-f715e5c73bc5"/>
    <ds:schemaRef ds:uri="985ec44e-1bab-4c0b-9df0-6ba128686fc9"/>
  </ds:schemaRefs>
</ds:datastoreItem>
</file>

<file path=customXml/itemProps3.xml><?xml version="1.0" encoding="utf-8"?>
<ds:datastoreItem xmlns:ds="http://schemas.openxmlformats.org/officeDocument/2006/customXml" ds:itemID="{C02C65F6-99C1-4B66-AC26-17B2CE0161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bde3967-4b29-49c8-add0-1b77de203898"/>
    <ds:schemaRef ds:uri="0f1cb922-524b-4a63-a729-f715e5c73bc5"/>
    <ds:schemaRef ds:uri="985ec44e-1bab-4c0b-9df0-6ba128686fc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8b77875e-5908-45a0-9cb4-dec9ae074618}" enabled="1" method="Privileged" siteId="{0f9e35db-544f-4f60-bdcc-5ea416e6dc70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>UNOG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Natalia IVANOVA</dc:creator>
  <cp:lastModifiedBy>Payeras, Carolina</cp:lastModifiedBy>
  <dcterms:created xsi:type="dcterms:W3CDTF">2025-06-17T07:50:44Z</dcterms:created>
  <dcterms:modified xsi:type="dcterms:W3CDTF">2026-04-16T03:25:53Z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0x010100ACC2ACFA87F550418D225E071F542ADA</vt:lpwstr>
  </property>
  <property fmtid="{D5CDD505-2E9C-101B-9397-08002B2CF9AE}" pid="3" name="MediaServiceImageTags">
    <vt:lpwstr/>
  </property>
</Properties>
</file>